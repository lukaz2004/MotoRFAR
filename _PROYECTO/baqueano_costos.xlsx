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y Costos" sheetId="1" state="visible" r:id="rId3"/>
    <sheet name="Notas y Fuen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<sst xmlns="http://schemas.openxmlformats.org/spreadsheetml/2006/main" count="119" uniqueCount="109">
  <si>
    <t xml:space="preserve">BAQUEANO HT — Planilla de Costos v1.0</t>
  </si>
  <si>
    <t xml:space="preserve">Componente</t>
  </si>
  <si>
    <t xml:space="preserve">Unidad</t>
  </si>
  <si>
    <t xml:space="preserve">Cant/kit</t>
  </si>
  <si>
    <t xml:space="preserve">Precio USD</t>
  </si>
  <si>
    <t xml:space="preserve">Subtotal USD</t>
  </si>
  <si>
    <t xml:space="preserve">Subtotal ARS</t>
  </si>
  <si>
    <t xml:space="preserve">Notas</t>
  </si>
  <si>
    <t xml:space="preserve">Tipo de cambio USD→ARS (actualizar):</t>
  </si>
  <si>
    <t xml:space="preserve">← Ingresá el TC oficial/blue vigente</t>
  </si>
  <si>
    <t xml:space="preserve">PCB y Electrónica (JLCPCB PCBA)</t>
  </si>
  <si>
    <t xml:space="preserve">A</t>
  </si>
  <si>
    <t xml:space="preserve">PCB 38.1×82.55mm — Fabricación (5u mín)</t>
  </si>
  <si>
    <t xml:space="preserve">lote</t>
  </si>
  <si>
    <t xml:space="preserve">JLCPCB 2-layer, 5 unidades</t>
  </si>
  <si>
    <t xml:space="preserve">B</t>
  </si>
  <si>
    <t xml:space="preserve">PCBA SMD — Ensamble automático 38 componentes</t>
  </si>
  <si>
    <t xml:space="preserve">ud</t>
  </si>
  <si>
    <t xml:space="preserve">JLCPCB Economic PCBA, incl. stencil</t>
  </si>
  <si>
    <t xml:space="preserve">C</t>
  </si>
  <si>
    <t xml:space="preserve">Componentes SMD (resistencias, caps, reguladores, etc.)</t>
  </si>
  <si>
    <t xml:space="preserve">Estimado BOM LCSC según CPL_JLCPCB.csv</t>
  </si>
  <si>
    <t xml:space="preserve">Módulos Off-Board (compra por separado)</t>
  </si>
  <si>
    <t xml:space="preserve">D</t>
  </si>
  <si>
    <t xml:space="preserve">Módulo de radio SA818-V (VHF)</t>
  </si>
  <si>
    <t xml:space="preserve">AliExpress / SA818 oficial</t>
  </si>
  <si>
    <t xml:space="preserve">E</t>
  </si>
  <si>
    <t xml:space="preserve">Jack 3.5mm TS PTT — PJ302M</t>
  </si>
  <si>
    <t xml:space="preserve">AliExpress, no va en PCBA</t>
  </si>
  <si>
    <t xml:space="preserve">F</t>
  </si>
  <si>
    <t xml:space="preserve">Conector U.FL Hirose + pigtail U.FL→SMA-F 15cm</t>
  </si>
  <si>
    <t xml:space="preserve">AliExpress — antena VHF bulkhead</t>
  </si>
  <si>
    <t xml:space="preserve">G</t>
  </si>
  <si>
    <t xml:space="preserve">Antena VHF SMA 144MHz flexible</t>
  </si>
  <si>
    <t xml:space="preserve">AliExpress — para pruebas; antena final según uso</t>
  </si>
  <si>
    <t xml:space="preserve">Carcasa</t>
  </si>
  <si>
    <t xml:space="preserve">H</t>
  </si>
  <si>
    <t xml:space="preserve">Carcasa aluminio anodizado — CNC 3 ejes (proveedor)</t>
  </si>
  <si>
    <t xml:space="preserve">Estimado fresado en Argentina; varía por taller</t>
  </si>
  <si>
    <t xml:space="preserve">I</t>
  </si>
  <si>
    <t xml:space="preserve">Tornillería + tapa + O-ring sellado (carcasa)</t>
  </si>
  <si>
    <t xml:space="preserve">Kit ferretería local</t>
  </si>
  <si>
    <t xml:space="preserve">Conectividad y Varios</t>
  </si>
  <si>
    <t xml:space="preserve">J</t>
  </si>
  <si>
    <t xml:space="preserve">Cable USB-C para programación/alimentación</t>
  </si>
  <si>
    <t xml:space="preserve">Incluido en el kit para el usuario</t>
  </si>
  <si>
    <t xml:space="preserve">K</t>
  </si>
  <si>
    <t xml:space="preserve">Bolsa antiestática + caja packaging básico</t>
  </si>
  <si>
    <t xml:space="preserve">Packaging mínimo</t>
  </si>
  <si>
    <t xml:space="preserve">Envío e Importación</t>
  </si>
  <si>
    <t xml:space="preserve">L</t>
  </si>
  <si>
    <t xml:space="preserve">Envío JLCPCB → Argentina (DHL/FedEx estimado)</t>
  </si>
  <si>
    <t xml:space="preserve">envío</t>
  </si>
  <si>
    <t xml:space="preserve">Varía según régimen aduanero; verificar courier</t>
  </si>
  <si>
    <t xml:space="preserve">M</t>
  </si>
  <si>
    <t xml:space="preserve">Derechos de importación estimados (35%+IVA sobre componentes)</t>
  </si>
  <si>
    <t xml:space="preserve">Estimado — verificar con despachante</t>
  </si>
  <si>
    <t xml:space="preserve">COSTO BOM TOTAL (sin margen)</t>
  </si>
  <si>
    <t xml:space="preserve">PRICING</t>
  </si>
  <si>
    <t xml:space="preserve">Margen objetivo (% sobre precio venta)</t>
  </si>
  <si>
    <t xml:space="preserve">Precio de venta USD (BOM / (1 − margen))</t>
  </si>
  <si>
    <t xml:space="preserve">Precio de venta ARS</t>
  </si>
  <si>
    <t xml:space="preserve">ANÁLISIS DE LOTE — ¿cuánto cuesta producir N unidades?</t>
  </si>
  <si>
    <t xml:space="preserve">Lote (uds)</t>
  </si>
  <si>
    <t xml:space="preserve">Ingreso USD</t>
  </si>
  <si>
    <t xml:space="preserve">BOM total USD</t>
  </si>
  <si>
    <t xml:space="preserve">Margen bruto USD</t>
  </si>
  <si>
    <t xml:space="preserve">Margen bruto %</t>
  </si>
  <si>
    <t xml:space="preserve">BAQUEANO HT — Notas y Fuentes</t>
  </si>
  <si>
    <t xml:space="preserve">Fecha</t>
  </si>
  <si>
    <t xml:space="preserve">Junio 2026</t>
  </si>
  <si>
    <t xml:space="preserve">Versión</t>
  </si>
  <si>
    <t xml:space="preserve">1.0 — primer borrador pre-producción</t>
  </si>
  <si>
    <t xml:space="preserve">INPUTS EDITABLES (azul)</t>
  </si>
  <si>
    <t xml:space="preserve">Tipo de cambio (BOM!E3)</t>
  </si>
  <si>
    <t xml:space="preserve">Actualizar con TC oficial o blue vigente. Fuente: BCRA / Ambito.</t>
  </si>
  <si>
    <t xml:space="preserve">Cant/kit (col D)</t>
  </si>
  <si>
    <t xml:space="preserve">Cantidad por unidad de kit entregado al cliente.</t>
  </si>
  <si>
    <t xml:space="preserve">Precio USD (col E)</t>
  </si>
  <si>
    <t xml:space="preserve">Precio unitario en USD. Fuente indicada en col H.</t>
  </si>
  <si>
    <t xml:space="preserve">Margen (Pricing!E)</t>
  </si>
  <si>
    <t xml:space="preserve">Porcentaje sobre precio de venta (no markup). Valor orientativo: 45%.</t>
  </si>
  <si>
    <t xml:space="preserve">ADVERTENCIAS</t>
  </si>
  <si>
    <t xml:space="preserve">Envío e importación</t>
  </si>
  <si>
    <t xml:space="preserve">Los costos de DHL + aduanas son estimaciones. Verificar con despachante antes de ordenar.</t>
  </si>
  <si>
    <t xml:space="preserve">Carcasa CNC</t>
  </si>
  <si>
    <t xml:space="preserve">USD 35 es estimación de taller local de mecanizado en Argentina. Puede variar 2×-3×.</t>
  </si>
  <si>
    <t xml:space="preserve">SA818-V</t>
  </si>
  <si>
    <t xml:space="preserve">Precio AliExpress sin IVA. Confirmar disponibilidad y lead time (~2-3 semanas desde China).</t>
  </si>
  <si>
    <t xml:space="preserve">PCBA JLCPCB</t>
  </si>
  <si>
    <t xml:space="preserve">Precio para primer lote 5 unidades. A mayor escala baja ~15-20%.</t>
  </si>
  <si>
    <t xml:space="preserve">FUENTES</t>
  </si>
  <si>
    <t xml:space="preserve">JLCPCB calculator</t>
  </si>
  <si>
    <t xml:space="preserve">https://jlcpcb.com/quote</t>
  </si>
  <si>
    <t xml:space="preserve">AliExpress SA818-V</t>
  </si>
  <si>
    <t xml:space="preserve">Buscar: 'SA818 VHF module' — ~USD 12-16</t>
  </si>
  <si>
    <t xml:space="preserve">LCSC componentes</t>
  </si>
  <si>
    <t xml:space="preserve">https://lcsc.com — BOM_JLCPCB.csv del proyecto</t>
  </si>
  <si>
    <t xml:space="preserve">TC referencia</t>
  </si>
  <si>
    <t xml:space="preserve">https://www.bcra.gob.ar o https://dolarhoy.com</t>
  </si>
  <si>
    <t xml:space="preserve">PRÓXIMOS PASOS</t>
  </si>
  <si>
    <t xml:space="preserve">1</t>
  </si>
  <si>
    <t xml:space="preserve">Completar BOM_JLCPCB.csv real → actualizar precios LCSC en col E filas C</t>
  </si>
  <si>
    <t xml:space="preserve">2</t>
  </si>
  <si>
    <t xml:space="preserve">Cotizar CNC carcasa con 2-3 talleres locales → reemplazar USD 35</t>
  </si>
  <si>
    <t xml:space="preserve">3</t>
  </si>
  <si>
    <t xml:space="preserve">Confirmar TC y costos de envío antes de cotizar al cliente</t>
  </si>
  <si>
    <t xml:space="preserve">4</t>
  </si>
  <si>
    <t xml:space="preserve">Revisar régimen aduanero para componentes electrónicos (Res. 522/2024)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</si>
</sst>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.00"/>
    <numFmt numFmtId="167" formatCode="\$#,##0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444444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FFDE7"/>
        <bgColor rgb="FFFFFFFF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F3460"/>
      <rgbColor rgb="FF339966"/>
      <rgbColor rgb="FF16213E"/>
      <rgbColor rgb="FF1A1A2E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28"/>
  </cols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customFormat="false" ht="19.5" hidden="false" customHeight="true" outlineLevel="0" collapsed="false">
      <c r="A3" s="4" t="s">
        <v>8</v>
      </c>
      <c r="B3" s="4"/>
      <c r="C3" s="4"/>
      <c r="D3" s="4"/>
      <c r="E3" s="5" t="n">
        <v>1150</v>
      </c>
      <c r="F3" s="6" t="s">
        <v>9</v>
      </c>
    </row>
    <row r="4" customFormat="false" ht="18" hidden="false" customHeight="true" outlineLevel="0" collapsed="false">
      <c r="A4" s="7" t="s">
        <v>10</v>
      </c>
      <c r="B4" s="7"/>
      <c r="C4" s="7"/>
      <c r="D4" s="7"/>
      <c r="E4" s="7"/>
      <c r="F4" s="7"/>
      <c r="G4" s="7"/>
      <c r="H4" s="7"/>
    </row>
    <row r="5" customFormat="false" ht="18" hidden="false" customHeight="true" outlineLevel="0" collapsed="false">
      <c r="A5" s="8" t="s">
        <v>11</v>
      </c>
      <c r="B5" s="9" t="s">
        <v>12</v>
      </c>
      <c r="C5" s="10" t="s">
        <v>13</v>
      </c>
      <c r="D5" s="11" t="n">
        <v>1</v>
      </c>
      <c r="E5" s="12" t="n">
        <v>18</v>
      </c>
      <c r="F5" s="13" t="n">
        <f aca="false">D5*E5</f>
        <v>18</v>
      </c>
      <c r="G5" s="14" t="n">
        <f aca="false">F5*$E$3</f>
        <v>20700</v>
      </c>
      <c r="H5" s="15" t="s">
        <v>14</v>
      </c>
    </row>
    <row r="6" customFormat="false" ht="18" hidden="false" customHeight="true" outlineLevel="0" collapsed="false">
      <c r="A6" s="8" t="s">
        <v>15</v>
      </c>
      <c r="B6" s="9" t="s">
        <v>16</v>
      </c>
      <c r="C6" s="10" t="s">
        <v>17</v>
      </c>
      <c r="D6" s="11" t="n">
        <v>1</v>
      </c>
      <c r="E6" s="12" t="n">
        <v>22</v>
      </c>
      <c r="F6" s="13" t="n">
        <f aca="false">D6*E6</f>
        <v>22</v>
      </c>
      <c r="G6" s="14" t="n">
        <f aca="false">F6*$E$3</f>
        <v>25300</v>
      </c>
      <c r="H6" s="15" t="s">
        <v>18</v>
      </c>
    </row>
    <row r="7" customFormat="false" ht="18" hidden="false" customHeight="true" outlineLevel="0" collapsed="false">
      <c r="A7" s="8" t="s">
        <v>19</v>
      </c>
      <c r="B7" s="9" t="s">
        <v>20</v>
      </c>
      <c r="C7" s="10" t="s">
        <v>17</v>
      </c>
      <c r="D7" s="11" t="n">
        <v>1</v>
      </c>
      <c r="E7" s="12" t="n">
        <v>12</v>
      </c>
      <c r="F7" s="13" t="n">
        <f aca="false">D7*E7</f>
        <v>12</v>
      </c>
      <c r="G7" s="14" t="n">
        <f aca="false">F7*$E$3</f>
        <v>13800</v>
      </c>
      <c r="H7" s="15" t="s">
        <v>21</v>
      </c>
    </row>
    <row r="8" customFormat="false" ht="18" hidden="false" customHeight="true" outlineLevel="0" collapsed="false">
      <c r="A8" s="7" t="s">
        <v>22</v>
      </c>
      <c r="B8" s="7"/>
      <c r="C8" s="7"/>
      <c r="D8" s="7"/>
      <c r="E8" s="7"/>
      <c r="F8" s="7"/>
      <c r="G8" s="7"/>
      <c r="H8" s="7"/>
    </row>
    <row r="9" customFormat="false" ht="18" hidden="false" customHeight="true" outlineLevel="0" collapsed="false">
      <c r="A9" s="8" t="s">
        <v>23</v>
      </c>
      <c r="B9" s="9" t="s">
        <v>24</v>
      </c>
      <c r="C9" s="10" t="s">
        <v>17</v>
      </c>
      <c r="D9" s="11" t="n">
        <v>1</v>
      </c>
      <c r="E9" s="12" t="n">
        <v>14</v>
      </c>
      <c r="F9" s="13" t="n">
        <f aca="false">D9*E9</f>
        <v>14</v>
      </c>
      <c r="G9" s="14" t="n">
        <f aca="false">F9*$E$3</f>
        <v>16100</v>
      </c>
      <c r="H9" s="15" t="s">
        <v>25</v>
      </c>
    </row>
    <row r="10" customFormat="false" ht="18" hidden="false" customHeight="true" outlineLevel="0" collapsed="false">
      <c r="A10" s="8" t="s">
        <v>26</v>
      </c>
      <c r="B10" s="9" t="s">
        <v>27</v>
      </c>
      <c r="C10" s="10" t="s">
        <v>17</v>
      </c>
      <c r="D10" s="11" t="n">
        <v>1</v>
      </c>
      <c r="E10" s="12" t="n">
        <v>0.5</v>
      </c>
      <c r="F10" s="13" t="n">
        <f aca="false">D10*E10</f>
        <v>0.5</v>
      </c>
      <c r="G10" s="14" t="n">
        <f aca="false">F10*$E$3</f>
        <v>575</v>
      </c>
      <c r="H10" s="15" t="s">
        <v>28</v>
      </c>
    </row>
    <row r="11" customFormat="false" ht="18" hidden="false" customHeight="true" outlineLevel="0" collapsed="false">
      <c r="A11" s="8" t="s">
        <v>29</v>
      </c>
      <c r="B11" s="9" t="s">
        <v>30</v>
      </c>
      <c r="C11" s="10" t="s">
        <v>17</v>
      </c>
      <c r="D11" s="11" t="n">
        <v>1</v>
      </c>
      <c r="E11" s="12" t="n">
        <v>2</v>
      </c>
      <c r="F11" s="13" t="n">
        <f aca="false">D11*E11</f>
        <v>2</v>
      </c>
      <c r="G11" s="14" t="n">
        <f aca="false">F11*$E$3</f>
        <v>2300</v>
      </c>
      <c r="H11" s="15" t="s">
        <v>31</v>
      </c>
    </row>
    <row r="12" customFormat="false" ht="18" hidden="false" customHeight="true" outlineLevel="0" collapsed="false">
      <c r="A12" s="8" t="s">
        <v>32</v>
      </c>
      <c r="B12" s="9" t="s">
        <v>33</v>
      </c>
      <c r="C12" s="10" t="s">
        <v>17</v>
      </c>
      <c r="D12" s="11" t="n">
        <v>1</v>
      </c>
      <c r="E12" s="12" t="n">
        <v>3.5</v>
      </c>
      <c r="F12" s="13" t="n">
        <f aca="false">D12*E12</f>
        <v>3.5</v>
      </c>
      <c r="G12" s="14" t="n">
        <f aca="false">F12*$E$3</f>
        <v>4025</v>
      </c>
      <c r="H12" s="15" t="s">
        <v>34</v>
      </c>
    </row>
    <row r="13" customFormat="false" ht="18" hidden="false" customHeight="true" outlineLevel="0" collapsed="false">
      <c r="A13" s="7" t="s">
        <v>35</v>
      </c>
      <c r="B13" s="7"/>
      <c r="C13" s="7"/>
      <c r="D13" s="7"/>
      <c r="E13" s="7"/>
      <c r="F13" s="7"/>
      <c r="G13" s="7"/>
      <c r="H13" s="7"/>
    </row>
    <row r="14" customFormat="false" ht="18" hidden="false" customHeight="true" outlineLevel="0" collapsed="false">
      <c r="A14" s="8" t="s">
        <v>36</v>
      </c>
      <c r="B14" s="9" t="s">
        <v>37</v>
      </c>
      <c r="C14" s="10" t="s">
        <v>17</v>
      </c>
      <c r="D14" s="11" t="n">
        <v>1</v>
      </c>
      <c r="E14" s="12" t="n">
        <v>35</v>
      </c>
      <c r="F14" s="13" t="n">
        <f aca="false">D14*E14</f>
        <v>35</v>
      </c>
      <c r="G14" s="14" t="n">
        <f aca="false">F14*$E$3</f>
        <v>40250</v>
      </c>
      <c r="H14" s="15" t="s">
        <v>38</v>
      </c>
    </row>
    <row r="15" customFormat="false" ht="18" hidden="false" customHeight="true" outlineLevel="0" collapsed="false">
      <c r="A15" s="8" t="s">
        <v>39</v>
      </c>
      <c r="B15" s="9" t="s">
        <v>40</v>
      </c>
      <c r="C15" s="10" t="s">
        <v>17</v>
      </c>
      <c r="D15" s="11" t="n">
        <v>1</v>
      </c>
      <c r="E15" s="12" t="n">
        <v>3</v>
      </c>
      <c r="F15" s="13" t="n">
        <f aca="false">D15*E15</f>
        <v>3</v>
      </c>
      <c r="G15" s="14" t="n">
        <f aca="false">F15*$E$3</f>
        <v>3450</v>
      </c>
      <c r="H15" s="15" t="s">
        <v>41</v>
      </c>
    </row>
    <row r="16" customFormat="false" ht="18" hidden="false" customHeight="true" outlineLevel="0" collapsed="false">
      <c r="A16" s="7" t="s">
        <v>42</v>
      </c>
      <c r="B16" s="7"/>
      <c r="C16" s="7"/>
      <c r="D16" s="7"/>
      <c r="E16" s="7"/>
      <c r="F16" s="7"/>
      <c r="G16" s="7"/>
      <c r="H16" s="7"/>
    </row>
    <row r="17" customFormat="false" ht="18" hidden="false" customHeight="true" outlineLevel="0" collapsed="false">
      <c r="A17" s="8" t="s">
        <v>43</v>
      </c>
      <c r="B17" s="9" t="s">
        <v>44</v>
      </c>
      <c r="C17" s="10" t="s">
        <v>17</v>
      </c>
      <c r="D17" s="11" t="n">
        <v>1</v>
      </c>
      <c r="E17" s="12" t="n">
        <v>1.5</v>
      </c>
      <c r="F17" s="13" t="n">
        <f aca="false">D17*E17</f>
        <v>1.5</v>
      </c>
      <c r="G17" s="14" t="n">
        <f aca="false">F17*$E$3</f>
        <v>1725</v>
      </c>
      <c r="H17" s="15" t="s">
        <v>45</v>
      </c>
    </row>
    <row r="18" customFormat="false" ht="18" hidden="false" customHeight="true" outlineLevel="0" collapsed="false">
      <c r="A18" s="8" t="s">
        <v>46</v>
      </c>
      <c r="B18" s="9" t="s">
        <v>47</v>
      </c>
      <c r="C18" s="10" t="s">
        <v>17</v>
      </c>
      <c r="D18" s="11" t="n">
        <v>1</v>
      </c>
      <c r="E18" s="12" t="n">
        <v>1</v>
      </c>
      <c r="F18" s="13" t="n">
        <f aca="false">D18*E18</f>
        <v>1</v>
      </c>
      <c r="G18" s="14" t="n">
        <f aca="false">F18*$E$3</f>
        <v>1150</v>
      </c>
      <c r="H18" s="15" t="s">
        <v>48</v>
      </c>
    </row>
    <row r="19" customFormat="false" ht="18" hidden="false" customHeight="true" outlineLevel="0" collapsed="false">
      <c r="A19" s="7" t="s">
        <v>49</v>
      </c>
      <c r="B19" s="7"/>
      <c r="C19" s="7"/>
      <c r="D19" s="7"/>
      <c r="E19" s="7"/>
      <c r="F19" s="7"/>
      <c r="G19" s="7"/>
      <c r="H19" s="7"/>
    </row>
    <row r="20" customFormat="false" ht="18" hidden="false" customHeight="true" outlineLevel="0" collapsed="false">
      <c r="A20" s="8" t="s">
        <v>50</v>
      </c>
      <c r="B20" s="9" t="s">
        <v>51</v>
      </c>
      <c r="C20" s="10" t="s">
        <v>52</v>
      </c>
      <c r="D20" s="11" t="n">
        <v>1</v>
      </c>
      <c r="E20" s="12" t="n">
        <v>28</v>
      </c>
      <c r="F20" s="13" t="n">
        <f aca="false">D20*E20</f>
        <v>28</v>
      </c>
      <c r="G20" s="14" t="n">
        <f aca="false">F20*$E$3</f>
        <v>32200</v>
      </c>
      <c r="H20" s="15" t="s">
        <v>53</v>
      </c>
    </row>
    <row r="21" customFormat="false" ht="18" hidden="false" customHeight="true" outlineLevel="0" collapsed="false">
      <c r="A21" s="8" t="s">
        <v>54</v>
      </c>
      <c r="B21" s="9" t="s">
        <v>55</v>
      </c>
      <c r="C21" s="10" t="s">
        <v>13</v>
      </c>
      <c r="D21" s="11" t="n">
        <v>1</v>
      </c>
      <c r="E21" s="12" t="n">
        <v>20</v>
      </c>
      <c r="F21" s="13" t="n">
        <f aca="false">D21*E21</f>
        <v>20</v>
      </c>
      <c r="G21" s="14" t="n">
        <f aca="false">F21*$E$3</f>
        <v>23000</v>
      </c>
      <c r="H21" s="15" t="s">
        <v>56</v>
      </c>
    </row>
    <row r="22" customFormat="false" ht="21.75" hidden="false" customHeight="true" outlineLevel="0" collapsed="false">
      <c r="A22" s="16" t="s">
        <v>57</v>
      </c>
      <c r="B22" s="16"/>
      <c r="C22" s="16"/>
      <c r="D22" s="16"/>
      <c r="E22" s="16"/>
      <c r="F22" s="17" t="n">
        <f aca="false">SUM(F5:F21)</f>
        <v>160.5</v>
      </c>
      <c r="G22" s="18" t="n">
        <f aca="false">F22*$E$3</f>
        <v>184575</v>
      </c>
    </row>
    <row r="24" customFormat="false" ht="18" hidden="false" customHeight="true" outlineLevel="0" collapsed="false">
      <c r="A24" s="7" t="s">
        <v>58</v>
      </c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B25" s="19" t="s">
        <v>59</v>
      </c>
      <c r="E25" s="20" t="n">
        <v>0.45</v>
      </c>
    </row>
    <row r="26" customFormat="false" ht="15" hidden="false" customHeight="false" outlineLevel="0" collapsed="false">
      <c r="B26" s="19" t="s">
        <v>60</v>
      </c>
      <c r="F26" s="21" t="n">
        <f aca="false">F22/(1-E25)</f>
        <v>291.818181818182</v>
      </c>
    </row>
    <row r="27" customFormat="false" ht="15" hidden="false" customHeight="false" outlineLevel="0" collapsed="false">
      <c r="B27" s="19" t="s">
        <v>61</v>
      </c>
      <c r="G27" s="22" t="n">
        <f aca="false">F26*$E$3</f>
        <v>335590.909090909</v>
      </c>
    </row>
    <row r="29" customFormat="false" ht="18" hidden="false" customHeight="true" outlineLevel="0" collapsed="false">
      <c r="A29" s="7" t="s">
        <v>62</v>
      </c>
      <c r="B29" s="7"/>
      <c r="C29" s="7"/>
      <c r="D29" s="7"/>
      <c r="E29" s="7"/>
      <c r="F29" s="7"/>
      <c r="G29" s="7"/>
      <c r="H29" s="7"/>
    </row>
    <row r="30" customFormat="false" ht="18" hidden="false" customHeight="true" outlineLevel="0" collapsed="false">
      <c r="B30" s="3" t="s">
        <v>63</v>
      </c>
      <c r="E30" s="3" t="s">
        <v>64</v>
      </c>
      <c r="F30" s="3" t="s">
        <v>65</v>
      </c>
      <c r="G30" s="3" t="s">
        <v>66</v>
      </c>
      <c r="H30" s="3" t="s">
        <v>67</v>
      </c>
    </row>
    <row r="31" customFormat="false" ht="15" hidden="false" customHeight="false" outlineLevel="0" collapsed="false">
      <c r="B31" s="11" t="n">
        <v>1</v>
      </c>
      <c r="E31" s="23" t="n">
        <f aca="false">B31*F26</f>
        <v>291.818181818182</v>
      </c>
      <c r="F31" s="23" t="n">
        <f aca="false">B31*F22</f>
        <v>160.5</v>
      </c>
      <c r="G31" s="24" t="n">
        <f aca="false">E31-F31</f>
        <v>131.318181818182</v>
      </c>
      <c r="H31" s="25" t="n">
        <f aca="false">G31/E31</f>
        <v>0.45</v>
      </c>
    </row>
    <row r="32" customFormat="false" ht="15" hidden="false" customHeight="false" outlineLevel="0" collapsed="false">
      <c r="B32" s="11" t="n">
        <v>5</v>
      </c>
      <c r="E32" s="23" t="n">
        <f aca="false">B32*F26</f>
        <v>1459.09090909091</v>
      </c>
      <c r="F32" s="23" t="n">
        <f aca="false">B32*F22</f>
        <v>802.5</v>
      </c>
      <c r="G32" s="24" t="n">
        <f aca="false">E32-F32</f>
        <v>656.590909090909</v>
      </c>
      <c r="H32" s="25" t="n">
        <f aca="false">G32/E32</f>
        <v>0.45</v>
      </c>
    </row>
    <row r="33" customFormat="false" ht="15" hidden="false" customHeight="false" outlineLevel="0" collapsed="false">
      <c r="B33" s="11" t="n">
        <v>10</v>
      </c>
      <c r="E33" s="23" t="n">
        <f aca="false">B33*F26</f>
        <v>2918.18181818182</v>
      </c>
      <c r="F33" s="23" t="n">
        <f aca="false">B33*F22</f>
        <v>1605</v>
      </c>
      <c r="G33" s="24" t="n">
        <f aca="false">E33-F33</f>
        <v>1313.18181818182</v>
      </c>
      <c r="H33" s="25" t="n">
        <f aca="false">G33/E33</f>
        <v>0.45</v>
      </c>
    </row>
    <row r="34" customFormat="false" ht="15" hidden="false" customHeight="false" outlineLevel="0" collapsed="false">
      <c r="B34" s="11" t="n">
        <v>20</v>
      </c>
      <c r="E34" s="23" t="n">
        <f aca="false">B34*F26</f>
        <v>5836.36363636364</v>
      </c>
      <c r="F34" s="23" t="n">
        <f aca="false">B34*F22</f>
        <v>3210</v>
      </c>
      <c r="G34" s="24" t="n">
        <f aca="false">E34-F34</f>
        <v>2626.36363636364</v>
      </c>
      <c r="H34" s="25" t="n">
        <f aca="false">G34/E34</f>
        <v>0.45</v>
      </c>
    </row>
    <row r="35" customFormat="false" ht="15" hidden="false" customHeight="false" outlineLevel="0" collapsed="false">
      <c r="B35" s="11" t="n">
        <v>50</v>
      </c>
      <c r="E35" s="23" t="n">
        <f aca="false">B35*F26</f>
        <v>14590.9090909091</v>
      </c>
      <c r="F35" s="23" t="n">
        <f aca="false">B35*F22</f>
        <v>8025</v>
      </c>
      <c r="G35" s="24" t="n">
        <f aca="false">E35-F35</f>
        <v>6565.90909090909</v>
      </c>
      <c r="H35" s="25" t="n">
        <f aca="false">G35/E35</f>
        <v>0.45</v>
      </c>
    </row>
  </sheetData>
  <mergeCells count="11">
    <mergeCell ref="A1:H1"/>
    <mergeCell ref="A2:B2"/>
    <mergeCell ref="A3:D3"/>
    <mergeCell ref="A4:H4"/>
    <mergeCell ref="A8:H8"/>
    <mergeCell ref="A13:H13"/>
    <mergeCell ref="A16:H16"/>
    <mergeCell ref="A19:H19"/>
    <mergeCell ref="A22:E22"/>
    <mergeCell ref="A24:H24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24" hidden="false" customHeight="true" outlineLevel="0" collapsed="false">
      <c r="A1" s="26" t="s">
        <v>68</v>
      </c>
      <c r="B1" s="26"/>
    </row>
    <row r="2" customFormat="false" ht="15" hidden="false" customHeight="true" outlineLevel="0" collapsed="false">
      <c r="A2" s="27" t="s">
        <v>69</v>
      </c>
      <c r="B2" s="28" t="s">
        <v>70</v>
      </c>
    </row>
    <row r="3" customFormat="false" ht="15" hidden="false" customHeight="true" outlineLevel="0" collapsed="false">
      <c r="A3" s="27" t="s">
        <v>71</v>
      </c>
      <c r="B3" s="28" t="s">
        <v>72</v>
      </c>
    </row>
    <row r="4" customFormat="false" ht="15" hidden="false" customHeight="true" outlineLevel="0" collapsed="false">
      <c r="A4" s="27"/>
      <c r="B4" s="28"/>
    </row>
    <row r="5" customFormat="false" ht="15" hidden="false" customHeight="true" outlineLevel="0" collapsed="false">
      <c r="A5" s="7" t="s">
        <v>73</v>
      </c>
      <c r="B5" s="7"/>
    </row>
    <row r="6" customFormat="false" ht="15" hidden="false" customHeight="true" outlineLevel="0" collapsed="false">
      <c r="A6" s="27" t="s">
        <v>74</v>
      </c>
      <c r="B6" s="28" t="s">
        <v>75</v>
      </c>
    </row>
    <row r="7" customFormat="false" ht="15" hidden="false" customHeight="true" outlineLevel="0" collapsed="false">
      <c r="A7" s="27" t="s">
        <v>76</v>
      </c>
      <c r="B7" s="28" t="s">
        <v>77</v>
      </c>
    </row>
    <row r="8" customFormat="false" ht="15" hidden="false" customHeight="true" outlineLevel="0" collapsed="false">
      <c r="A8" s="27" t="s">
        <v>78</v>
      </c>
      <c r="B8" s="28" t="s">
        <v>79</v>
      </c>
    </row>
    <row r="9" customFormat="false" ht="15" hidden="false" customHeight="true" outlineLevel="0" collapsed="false">
      <c r="A9" s="27" t="s">
        <v>80</v>
      </c>
      <c r="B9" s="28" t="s">
        <v>81</v>
      </c>
    </row>
    <row r="10" customFormat="false" ht="15" hidden="false" customHeight="true" outlineLevel="0" collapsed="false">
      <c r="A10" s="27"/>
      <c r="B10" s="28"/>
    </row>
    <row r="11" customFormat="false" ht="15" hidden="false" customHeight="true" outlineLevel="0" collapsed="false">
      <c r="A11" s="7" t="s">
        <v>82</v>
      </c>
      <c r="B11" s="7"/>
    </row>
    <row r="12" customFormat="false" ht="15" hidden="false" customHeight="true" outlineLevel="0" collapsed="false">
      <c r="A12" s="27" t="s">
        <v>83</v>
      </c>
      <c r="B12" s="28" t="s">
        <v>84</v>
      </c>
    </row>
    <row r="13" customFormat="false" ht="15" hidden="false" customHeight="true" outlineLevel="0" collapsed="false">
      <c r="A13" s="27" t="s">
        <v>85</v>
      </c>
      <c r="B13" s="28" t="s">
        <v>86</v>
      </c>
    </row>
    <row r="14" customFormat="false" ht="15" hidden="false" customHeight="true" outlineLevel="0" collapsed="false">
      <c r="A14" s="27" t="s">
        <v>87</v>
      </c>
      <c r="B14" s="28" t="s">
        <v>88</v>
      </c>
    </row>
    <row r="15" customFormat="false" ht="15" hidden="false" customHeight="true" outlineLevel="0" collapsed="false">
      <c r="A15" s="27" t="s">
        <v>89</v>
      </c>
      <c r="B15" s="28" t="s">
        <v>90</v>
      </c>
    </row>
    <row r="16" customFormat="false" ht="15" hidden="false" customHeight="true" outlineLevel="0" collapsed="false">
      <c r="A16" s="27"/>
      <c r="B16" s="28"/>
    </row>
    <row r="17" customFormat="false" ht="15" hidden="false" customHeight="true" outlineLevel="0" collapsed="false">
      <c r="A17" s="7" t="s">
        <v>91</v>
      </c>
      <c r="B17" s="7"/>
    </row>
    <row r="18" customFormat="false" ht="15" hidden="false" customHeight="true" outlineLevel="0" collapsed="false">
      <c r="A18" s="27" t="s">
        <v>92</v>
      </c>
      <c r="B18" s="28" t="s">
        <v>93</v>
      </c>
    </row>
    <row r="19" customFormat="false" ht="15" hidden="false" customHeight="true" outlineLevel="0" collapsed="false">
      <c r="A19" s="27" t="s">
        <v>94</v>
      </c>
      <c r="B19" s="28" t="s">
        <v>95</v>
      </c>
    </row>
    <row r="20" customFormat="false" ht="15" hidden="false" customHeight="true" outlineLevel="0" collapsed="false">
      <c r="A20" s="27" t="s">
        <v>96</v>
      </c>
      <c r="B20" s="28" t="s">
        <v>97</v>
      </c>
    </row>
    <row r="21" customFormat="false" ht="15" hidden="false" customHeight="true" outlineLevel="0" collapsed="false">
      <c r="A21" s="27" t="s">
        <v>98</v>
      </c>
      <c r="B21" s="28" t="s">
        <v>99</v>
      </c>
    </row>
    <row r="22" customFormat="false" ht="15" hidden="false" customHeight="true" outlineLevel="0" collapsed="false">
      <c r="A22" s="27"/>
      <c r="B22" s="28"/>
    </row>
    <row r="23" customFormat="false" ht="15" hidden="false" customHeight="true" outlineLevel="0" collapsed="false">
      <c r="A23" s="7" t="s">
        <v>100</v>
      </c>
      <c r="B23" s="7"/>
    </row>
    <row r="24" customFormat="false" ht="15" hidden="false" customHeight="true" outlineLevel="0" collapsed="false">
      <c r="A24" s="27" t="s">
        <v>101</v>
      </c>
      <c r="B24" s="28" t="s">
        <v>102</v>
      </c>
    </row>
    <row r="25" customFormat="false" ht="15" hidden="false" customHeight="true" outlineLevel="0" collapsed="false">
      <c r="A25" s="27" t="s">
        <v>103</v>
      </c>
      <c r="B25" s="28" t="s">
        <v>104</v>
      </c>
    </row>
    <row r="26" customFormat="false" ht="15" hidden="false" customHeight="true" outlineLevel="0" collapsed="false">
      <c r="A26" s="27" t="s">
        <v>105</v>
      </c>
      <c r="B26" s="28" t="s">
        <v>106</v>
      </c>
    </row>
    <row r="27" customFormat="false" ht="15" hidden="false" customHeight="true" outlineLevel="0" collapsed="false">
      <c r="A27" s="27" t="s">
        <v>107</v>
      </c>
      <c r="B27" s="28" t="s">
        <v>108</v>
      </c>
    </row>
  </sheetData>
  <mergeCells count="5">
    <mergeCell ref="A1:B1"/>
    <mergeCell ref="A5:B5"/>
    <mergeCell ref="A11:B11"/>
    <mergeCell ref="A17:B17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2026-06-28T21:31:28Z</dcterms:created>
  <dc:creator>openpyxl</dc:creator>
  <dc:description/>
  <dc:language>en-US</dc:language>
  <cp:lastModifiedBy/>
  <dcterms:modified xsi:type="dcterms:W3CDTF">2026-06-28T21:31:28Z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